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showInkAnnotation="0" autoCompressPictures="0"/>
  <xr:revisionPtr revIDLastSave="0" documentId="8_{DE20670C-7E93-4249-AAEC-B8983B0EBB6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ST Butterfly Ratio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9" i="1"/>
  <c r="H10" i="1" s="1"/>
  <c r="E15" i="1" s="1"/>
  <c r="F20" i="1" s="1"/>
  <c r="E9" i="1"/>
  <c r="E10" i="1" s="1"/>
  <c r="B9" i="1"/>
  <c r="B10" i="1" s="1"/>
  <c r="B15" i="1" s="1"/>
  <c r="B20" i="1" l="1"/>
  <c r="H15" i="1"/>
  <c r="H14" i="1"/>
  <c r="D20" i="1" l="1"/>
  <c r="E16" i="1"/>
  <c r="B16" i="1"/>
  <c r="H20" i="1"/>
</calcChain>
</file>

<file path=xl/sharedStrings.xml><?xml version="1.0" encoding="utf-8"?>
<sst xmlns="http://schemas.openxmlformats.org/spreadsheetml/2006/main" count="60" uniqueCount="37">
  <si>
    <t>Student CME UST Butterfly Ratio Calculator</t>
  </si>
  <si>
    <t>Simple CTD → Futures DV01 → 3-Leg Butterfly Ratio</t>
  </si>
  <si>
    <t>Leg 1 / Front Wing</t>
  </si>
  <si>
    <t>Leg 2 / Belly</t>
  </si>
  <si>
    <t>Leg 3 / Back Wing</t>
  </si>
  <si>
    <t>Contract</t>
  </si>
  <si>
    <t>ZT</t>
  </si>
  <si>
    <t>ZF</t>
  </si>
  <si>
    <t>ZN</t>
  </si>
  <si>
    <t>CTD Clean Price</t>
  </si>
  <si>
    <t>Modified Duration</t>
  </si>
  <si>
    <t>Conversion Factor</t>
  </si>
  <si>
    <t>CTD DV01</t>
  </si>
  <si>
    <t>OUTPUT, no input req</t>
  </si>
  <si>
    <t>Futures DV01</t>
  </si>
  <si>
    <t>Butterfly Ratio Engine</t>
  </si>
  <si>
    <t>Front Wing Contracts</t>
  </si>
  <si>
    <t>Back Wing Contracts</t>
  </si>
  <si>
    <t>Belly Contracts Needed</t>
  </si>
  <si>
    <t>OUTPUT</t>
  </si>
  <si>
    <t>Front Wing DV01 Exposure</t>
  </si>
  <si>
    <t>Back Wing DV01 Exposure</t>
  </si>
  <si>
    <t>Total Wing DV01</t>
  </si>
  <si>
    <t>Signed Ratio</t>
  </si>
  <si>
    <t>Clean Ratio</t>
  </si>
  <si>
    <t>Interpretation</t>
  </si>
  <si>
    <t>Quick Sanity Check</t>
  </si>
  <si>
    <t>Front DV01</t>
  </si>
  <si>
    <t>Belly DV01</t>
  </si>
  <si>
    <t>Back DV01</t>
  </si>
  <si>
    <t>Net DV01</t>
  </si>
  <si>
    <t>Should be near 0</t>
  </si>
  <si>
    <t>Math Notes</t>
  </si>
  <si>
    <t>CTD DV01 = Clean Price × Modified Duration × 0.0001 × 1000</t>
  </si>
  <si>
    <t>Futures DV01 ≈ CTD DV01 / Conversion Factor</t>
  </si>
  <si>
    <t>Belly Contracts = - (Front Contracts × Front Futures DV01 + Back Contracts × Back Futures DV01) / Belly Futures DV01</t>
  </si>
  <si>
    <t>This is intentionally simplified for student learning. It is a DV01-neutral butterfly ratio calculator, not a full desk pricing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</si>
</sst>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\(0.00\);\-"/>
  </numFmts>
  <fonts count="10">
    <font>
      <sz val="11"/>
      <name val="Carlito"/>
    </font>
    <font>
      <b/>
      <sz val="18"/>
      <color rgb="FF111827"/>
      <name val="Carlito"/>
    </font>
    <font>
      <i/>
      <sz val="10"/>
      <color rgb="FF6B7280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sz val="11"/>
      <color rgb="FF0000FF"/>
      <name val="Carlito"/>
    </font>
    <font>
      <sz val="11"/>
      <color rgb="FF000000"/>
      <name val="Carlito"/>
    </font>
    <font>
      <i/>
      <sz val="11"/>
      <color rgb="FF6B7280"/>
      <name val="Carlito"/>
    </font>
    <font>
      <b/>
      <i/>
      <sz val="11"/>
      <color rgb="FF6B7280"/>
      <name val="Carlito"/>
    </font>
    <font>
      <sz val="11"/>
      <color rgb="FF37415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11827"/>
      </patternFill>
    </fill>
    <fill>
      <patternFill patternType="solid">
        <fgColor rgb="FFF9FAFB"/>
      </patternFill>
    </fill>
    <fill>
      <patternFill patternType="solid">
        <fgColor rgb="FFFFF7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2"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Normal="100" zoomScaleSheetLayoutView="100" workbookViewId="0">
      <selection sqref="A1:I1"/>
    </sheetView>
  </sheetViews>
  <sheetFormatPr defaultRowHeight="15"/>
  <cols>
    <col min="1" max="1" width="22" customWidth="1"/>
    <col min="2" max="2" width="32.625" customWidth="1"/>
    <col min="3" max="3" width="20" customWidth="1"/>
    <col min="4" max="4" width="22" customWidth="1"/>
    <col min="5" max="5" width="22.375" customWidth="1"/>
    <col min="6" max="6" width="20" customWidth="1"/>
    <col min="7" max="7" width="22" customWidth="1"/>
    <col min="8" max="8" width="35.5" customWidth="1"/>
    <col min="9" max="9" width="22" customWidth="1"/>
  </cols>
  <sheetData>
    <row r="1" spans="1:9" ht="27.95" customHeight="1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20.100000000000001" customHeight="1">
      <c r="A2" s="5" t="s">
        <v>1</v>
      </c>
      <c r="B2" s="5"/>
      <c r="C2" s="5"/>
      <c r="D2" s="5"/>
      <c r="E2" s="5"/>
      <c r="F2" s="5"/>
      <c r="G2" s="5"/>
      <c r="H2" s="5"/>
      <c r="I2" s="5"/>
    </row>
    <row r="4" spans="1:9" ht="20.100000000000001" customHeight="1">
      <c r="A4" s="6" t="s">
        <v>2</v>
      </c>
      <c r="B4" s="6"/>
      <c r="C4" s="6"/>
      <c r="D4" s="6" t="s">
        <v>3</v>
      </c>
      <c r="E4" s="6"/>
      <c r="F4" s="6"/>
      <c r="G4" s="6" t="s">
        <v>4</v>
      </c>
      <c r="H4" s="6"/>
      <c r="I4" s="6"/>
    </row>
    <row r="5" spans="1:9">
      <c r="A5" s="7" t="s">
        <v>5</v>
      </c>
      <c r="B5" s="8" t="s">
        <v>6</v>
      </c>
      <c r="C5" s="3"/>
      <c r="D5" s="7" t="s">
        <v>5</v>
      </c>
      <c r="E5" s="8" t="s">
        <v>7</v>
      </c>
      <c r="F5" s="3"/>
      <c r="G5" s="7" t="s">
        <v>5</v>
      </c>
      <c r="H5" s="8" t="s">
        <v>8</v>
      </c>
      <c r="I5" s="3"/>
    </row>
    <row r="6" spans="1:9">
      <c r="A6" s="7" t="s">
        <v>9</v>
      </c>
      <c r="B6" s="9">
        <v>100</v>
      </c>
      <c r="C6" s="3"/>
      <c r="D6" s="7" t="s">
        <v>9</v>
      </c>
      <c r="E6" s="9">
        <v>87</v>
      </c>
      <c r="F6" s="3"/>
      <c r="G6" s="7" t="s">
        <v>9</v>
      </c>
      <c r="H6" s="9">
        <v>100</v>
      </c>
      <c r="I6" s="3"/>
    </row>
    <row r="7" spans="1:9">
      <c r="A7" s="7" t="s">
        <v>10</v>
      </c>
      <c r="B7" s="9">
        <v>1.9</v>
      </c>
      <c r="C7" s="3"/>
      <c r="D7" s="7" t="s">
        <v>10</v>
      </c>
      <c r="E7" s="9">
        <v>4.9000000000000004</v>
      </c>
      <c r="F7" s="3"/>
      <c r="G7" s="7" t="s">
        <v>10</v>
      </c>
      <c r="H7" s="9">
        <v>7.8</v>
      </c>
      <c r="I7" s="3"/>
    </row>
    <row r="8" spans="1:9">
      <c r="A8" s="7" t="s">
        <v>11</v>
      </c>
      <c r="B8" s="9">
        <v>0.95499999999999996</v>
      </c>
      <c r="C8" s="3"/>
      <c r="D8" s="7" t="s">
        <v>11</v>
      </c>
      <c r="E8" s="9">
        <v>0.9012</v>
      </c>
      <c r="F8" s="3"/>
      <c r="G8" s="7" t="s">
        <v>11</v>
      </c>
      <c r="H8" s="9">
        <v>0.8125</v>
      </c>
      <c r="I8" s="3"/>
    </row>
    <row r="9" spans="1:9">
      <c r="A9" s="7" t="s">
        <v>12</v>
      </c>
      <c r="B9" s="10">
        <f>B6*B7*0.0001*1000</f>
        <v>19</v>
      </c>
      <c r="C9" s="1" t="s">
        <v>13</v>
      </c>
      <c r="D9" s="7" t="s">
        <v>12</v>
      </c>
      <c r="E9" s="10">
        <f>E6*E7*0.0001*1000</f>
        <v>42.63</v>
      </c>
      <c r="F9" s="1" t="s">
        <v>13</v>
      </c>
      <c r="G9" s="7" t="s">
        <v>12</v>
      </c>
      <c r="H9" s="10">
        <f>H6*H7*0.0001*1000</f>
        <v>78</v>
      </c>
      <c r="I9" s="1" t="s">
        <v>13</v>
      </c>
    </row>
    <row r="10" spans="1:9">
      <c r="A10" s="7" t="s">
        <v>14</v>
      </c>
      <c r="B10" s="10">
        <f>B9/B8</f>
        <v>19.895287958115183</v>
      </c>
      <c r="C10" s="1" t="s">
        <v>13</v>
      </c>
      <c r="D10" s="7" t="s">
        <v>14</v>
      </c>
      <c r="E10" s="10">
        <f>E9/E8</f>
        <v>47.303595206391478</v>
      </c>
      <c r="F10" s="1" t="s">
        <v>13</v>
      </c>
      <c r="G10" s="7" t="s">
        <v>14</v>
      </c>
      <c r="H10" s="10">
        <f>H9/H8</f>
        <v>96</v>
      </c>
      <c r="I10" s="1" t="s">
        <v>13</v>
      </c>
    </row>
    <row r="13" spans="1:9" ht="20.100000000000001" customHeight="1">
      <c r="A13" s="6" t="s">
        <v>15</v>
      </c>
      <c r="B13" s="6"/>
      <c r="C13" s="6"/>
      <c r="D13" s="6"/>
      <c r="E13" s="6"/>
      <c r="F13" s="6"/>
      <c r="G13" s="6"/>
      <c r="H13" s="6"/>
      <c r="I13" s="6"/>
    </row>
    <row r="14" spans="1:9">
      <c r="A14" s="7" t="s">
        <v>16</v>
      </c>
      <c r="B14" s="9">
        <v>2</v>
      </c>
      <c r="C14" s="3"/>
      <c r="D14" s="7" t="s">
        <v>17</v>
      </c>
      <c r="E14" s="9">
        <v>1</v>
      </c>
      <c r="F14" s="3"/>
      <c r="G14" s="7" t="s">
        <v>18</v>
      </c>
      <c r="H14" s="10">
        <f>-(B15+E15)/E10</f>
        <v>-2.8706185084613369</v>
      </c>
      <c r="I14" s="1" t="s">
        <v>19</v>
      </c>
    </row>
    <row r="15" spans="1:9">
      <c r="A15" s="7" t="s">
        <v>20</v>
      </c>
      <c r="B15" s="10">
        <f>B14*B10</f>
        <v>39.790575916230367</v>
      </c>
      <c r="C15" s="3" t="s">
        <v>19</v>
      </c>
      <c r="D15" s="7" t="s">
        <v>21</v>
      </c>
      <c r="E15" s="10">
        <f>E14*H10</f>
        <v>96</v>
      </c>
      <c r="F15" s="3" t="s">
        <v>19</v>
      </c>
      <c r="G15" s="7" t="s">
        <v>22</v>
      </c>
      <c r="H15" s="10">
        <f>B15+E15</f>
        <v>135.79057591623035</v>
      </c>
      <c r="I15" s="1" t="s">
        <v>19</v>
      </c>
    </row>
    <row r="16" spans="1:9">
      <c r="A16" s="7" t="s">
        <v>23</v>
      </c>
      <c r="B16" s="11" t="str">
        <f>TEXT(B14,"0.00")&amp;" : "&amp;TEXT(H14,"0.00")&amp;" : "&amp;TEXT(E14,"0.00")</f>
        <v>2.00 : -2.87 : 1.00</v>
      </c>
      <c r="C16" s="3" t="s">
        <v>19</v>
      </c>
      <c r="D16" s="7" t="s">
        <v>24</v>
      </c>
      <c r="E16" s="11" t="str">
        <f>TEXT(ABS(B14),"0.00")&amp;" : "&amp;TEXT(ABS(H14),"0.00")&amp;" : "&amp;TEXT(ABS(E14),"0.00")</f>
        <v>2.00 : 2.87 : 1.00</v>
      </c>
      <c r="F16" s="3" t="s">
        <v>19</v>
      </c>
      <c r="G16" s="7" t="s">
        <v>25</v>
      </c>
      <c r="H16" s="11" t="str">
        <f>"If wings are one direction, belly is opposite. Negative belly = short belly vs long wings."</f>
        <v>If wings are one direction, belly is opposite. Negative belly = short belly vs long wings.</v>
      </c>
      <c r="I16" s="1" t="s">
        <v>19</v>
      </c>
    </row>
    <row r="19" spans="1:9" ht="20.100000000000001" customHeight="1">
      <c r="A19" s="6" t="s">
        <v>26</v>
      </c>
      <c r="B19" s="6"/>
      <c r="C19" s="6"/>
      <c r="D19" s="6"/>
      <c r="E19" s="6"/>
      <c r="F19" s="6"/>
      <c r="G19" s="6"/>
      <c r="H19" s="6"/>
      <c r="I19" s="6"/>
    </row>
    <row r="20" spans="1:9">
      <c r="A20" s="7" t="s">
        <v>27</v>
      </c>
      <c r="B20" s="10">
        <f>B15</f>
        <v>39.790575916230367</v>
      </c>
      <c r="C20" s="7" t="s">
        <v>28</v>
      </c>
      <c r="D20" s="10">
        <f>H14*E10</f>
        <v>-135.79057591623035</v>
      </c>
      <c r="E20" s="7" t="s">
        <v>29</v>
      </c>
      <c r="F20" s="10">
        <f>E15</f>
        <v>96</v>
      </c>
      <c r="G20" s="7" t="s">
        <v>30</v>
      </c>
      <c r="H20" s="10">
        <f>B20+D20+F20</f>
        <v>0</v>
      </c>
      <c r="I20" s="2" t="s">
        <v>31</v>
      </c>
    </row>
    <row r="23" spans="1:9" ht="20.100000000000001" customHeight="1">
      <c r="A23" s="6" t="s">
        <v>32</v>
      </c>
      <c r="B23" s="6"/>
      <c r="C23" s="6"/>
      <c r="D23" s="6"/>
      <c r="E23" s="6"/>
      <c r="F23" s="6"/>
      <c r="G23" s="6"/>
      <c r="H23" s="6"/>
      <c r="I23" s="6"/>
    </row>
    <row r="24" spans="1:9" ht="61.5" customHeight="1">
      <c r="A24" s="12" t="s">
        <v>33</v>
      </c>
      <c r="B24" s="13"/>
      <c r="C24" s="13"/>
      <c r="D24" s="13"/>
      <c r="E24" s="13"/>
      <c r="F24" s="13"/>
      <c r="G24" s="13"/>
      <c r="H24" s="13"/>
      <c r="I24" s="13"/>
    </row>
    <row r="25" spans="1:9" ht="43.5" customHeight="1">
      <c r="A25" s="12" t="s">
        <v>34</v>
      </c>
      <c r="B25" s="13"/>
      <c r="C25" s="13"/>
      <c r="D25" s="13"/>
      <c r="E25" s="13"/>
      <c r="F25" s="13"/>
      <c r="G25" s="13"/>
      <c r="H25" s="13"/>
      <c r="I25" s="13"/>
    </row>
    <row r="26" spans="1:9" ht="75" customHeight="1">
      <c r="A26" s="12" t="s">
        <v>35</v>
      </c>
      <c r="B26" s="13"/>
      <c r="C26" s="13"/>
      <c r="D26" s="13"/>
      <c r="E26" s="13"/>
      <c r="F26" s="13"/>
      <c r="G26" s="13"/>
      <c r="H26" s="13"/>
      <c r="I26" s="13"/>
    </row>
    <row r="27" spans="1:9" ht="103.5" customHeight="1">
      <c r="A27" s="12" t="s">
        <v>36</v>
      </c>
      <c r="B27" s="13"/>
      <c r="C27" s="13"/>
      <c r="D27" s="13"/>
      <c r="E27" s="13"/>
      <c r="F27" s="13"/>
      <c r="G27" s="13"/>
      <c r="H27" s="13"/>
      <c r="I27" s="13"/>
    </row>
  </sheetData>
  <mergeCells count="8">
    <mergeCell ref="A13:I13"/>
    <mergeCell ref="A19:I19"/>
    <mergeCell ref="A23:I23"/>
    <mergeCell ref="A1:I1"/>
    <mergeCell ref="A2:I2"/>
    <mergeCell ref="A4:C4"/>
    <mergeCell ref="D4:F4"/>
    <mergeCell ref="G4:I4"/>
  </mergeCells>
  <conditionalFormatting sqref="H20">
    <cfRule type="expression" dxfId="1" priority="1">
      <formula>ABS(H20)&lt;0.01</formula>
    </cfRule>
    <cfRule type="expression" dxfId="0" priority="2">
      <formula>ABS(H20)&gt;=0.01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2026-05-22T22:43:14Z</dcterms:created>
  <dcterms:modified xsi:type="dcterms:W3CDTF">2026-05-22T22:43:14Z</dcterms:modified>
  <cp:category/>
  <cp:contentStatus/>
</cp:coreProperties>
</file>